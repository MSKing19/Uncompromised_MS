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hima\Downloads\"/>
    </mc:Choice>
  </mc:AlternateContent>
  <xr:revisionPtr revIDLastSave="0" documentId="13_ncr:1_{CC69508F-8627-496C-8778-F3A2DC160A1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ant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H11" i="1" s="1"/>
  <c r="C12" i="1"/>
  <c r="H12" i="1" s="1"/>
  <c r="C13" i="1"/>
  <c r="H13" i="1" s="1"/>
  <c r="C14" i="1"/>
  <c r="H14" i="1" s="1"/>
  <c r="C15" i="1"/>
  <c r="H15" i="1" s="1"/>
  <c r="C16" i="1"/>
  <c r="H16" i="1" s="1"/>
  <c r="C17" i="1"/>
  <c r="C18" i="1"/>
  <c r="C19" i="1"/>
  <c r="H19" i="1" s="1"/>
  <c r="C20" i="1"/>
  <c r="H20" i="1" s="1"/>
  <c r="C21" i="1"/>
  <c r="H21" i="1" s="1"/>
  <c r="C22" i="1"/>
  <c r="C23" i="1"/>
  <c r="C24" i="1"/>
  <c r="C25" i="1"/>
  <c r="C26" i="1"/>
  <c r="C5" i="1"/>
  <c r="C4" i="1"/>
  <c r="H25" i="1"/>
  <c r="H24" i="1"/>
  <c r="H23" i="1"/>
  <c r="H22" i="1"/>
  <c r="H18" i="1"/>
  <c r="H17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<sst xmlns="http://schemas.openxmlformats.org/spreadsheetml/2006/main" count="182" uniqueCount="114">
  <si>
    <t>Task</t>
  </si>
  <si>
    <t>Category</t>
  </si>
  <si>
    <t>Start</t>
  </si>
  <si>
    <t>End</t>
  </si>
  <si>
    <t>Duration</t>
  </si>
  <si>
    <t>Delay Scenario</t>
  </si>
  <si>
    <t>Delay Days</t>
  </si>
  <si>
    <t>Adj Start</t>
  </si>
  <si>
    <t>Soil Sampling</t>
  </si>
  <si>
    <t>Lab Testing</t>
  </si>
  <si>
    <t>Result Analysis</t>
  </si>
  <si>
    <t>Compost Estimation</t>
  </si>
  <si>
    <t>Decision Finalization</t>
  </si>
  <si>
    <t>Gobar Vendor Selection</t>
  </si>
  <si>
    <t>Gobar Collection</t>
  </si>
  <si>
    <t>Green Manure Identification</t>
  </si>
  <si>
    <t>Green Manure Harvest</t>
  </si>
  <si>
    <t>Pit Marking</t>
  </si>
  <si>
    <t>Pit Digging</t>
  </si>
  <si>
    <t>Layering</t>
  </si>
  <si>
    <t>Mixing</t>
  </si>
  <si>
    <t>Compost Pile Setup</t>
  </si>
  <si>
    <t>Covering &amp; Labeling</t>
  </si>
  <si>
    <t>Daily Temperature</t>
  </si>
  <si>
    <t>Moisture Check</t>
  </si>
  <si>
    <t>Turning Every 7 Days</t>
  </si>
  <si>
    <t>Tractor Maintenance</t>
  </si>
  <si>
    <t>Rotavator Maintenance</t>
  </si>
  <si>
    <t>Field Preparation</t>
  </si>
  <si>
    <t>Compost Transport</t>
  </si>
  <si>
    <t>Seed Finalization</t>
  </si>
  <si>
    <t>Sowing Prep</t>
  </si>
  <si>
    <t>Planning</t>
  </si>
  <si>
    <t>Sourcing</t>
  </si>
  <si>
    <t>Preparation</t>
  </si>
  <si>
    <t>Monitoring</t>
  </si>
  <si>
    <t>Equipment</t>
  </si>
  <si>
    <t>Application</t>
  </si>
  <si>
    <t>Final</t>
  </si>
  <si>
    <t>None</t>
  </si>
  <si>
    <t>Day 0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</si>
  <si>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</si>
  <si>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</si>
  <si>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</si>
  <si>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</si>
  <si>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</si>
  <si>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</si>
  <si>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</si>
  <si>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</si>
  <si>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</si>
  <si>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</si>
  <si>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</si>
  <si>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</si>
  <si>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</si>
  <si>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</si>
  <si>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</si>
  <si>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</si>
  <si>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</si>
  <si>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</si>
  <si>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</si>
  <si>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</si>
  <si>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</si>
  <si>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</si>
  <si>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</si>
  <si>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</si>
  <si>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</si>
  <si>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</si>
  <si>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</si>
  <si>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</si>
  <si>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</si>
  <si>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</si>
  <si>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</si>
  <si>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</si>
  <si>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</si>
  <si>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</si>
  <si>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</si>
  <si>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</si>
  <si>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</si>
  <si>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</si>
  <si>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</si>
  <si>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</si>
  <si>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</si>
  <si>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</si>
  <si>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</si>
  <si>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</si>
  <si>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</si>
  <si>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</si>
  <si>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</si>
  <si>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</si>
  <si>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</si>
  <si>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</si>
  <si>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</si>
  <si>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</si>
  <si>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</si>
  <si>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</si>
  <si>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</si>
  <si>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</si>
  <si>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</si>
  <si>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</si>
  <si>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</si>
  <si>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</si>
  <si>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</si>
  <si>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</si>
  <si>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</si>
  <si>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</si>
  <si>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Vendor Delay</t>
  </si>
  <si>
    <t>Rain Delay</t>
  </si>
  <si>
    <t>Pit Collapse</t>
  </si>
  <si>
    <t>Notes</t>
  </si>
  <si>
    <t>Location Feasability</t>
  </si>
  <si>
    <t>Quality Check</t>
  </si>
  <si>
    <t>Pricing</t>
  </si>
  <si>
    <t>Transport</t>
  </si>
  <si>
    <t>JCB Procurement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</si>
</sst>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D7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35"/>
  <sheetViews>
    <sheetView tabSelected="1" zoomScale="73" workbookViewId="0">
      <selection activeCell="H10" sqref="H10"/>
    </sheetView>
  </sheetViews>
  <sheetFormatPr defaultRowHeight="14.4" x14ac:dyDescent="0.3"/>
  <cols>
    <col min="1" max="1" width="35.6640625" customWidth="1"/>
    <col min="2" max="4" width="12.6640625" customWidth="1"/>
    <col min="5" max="8" width="15.6640625" customWidth="1"/>
    <col min="9" max="11" width="11.6640625" customWidth="1"/>
    <col min="12" max="15" width="5.88671875" bestFit="1" customWidth="1"/>
    <col min="16" max="16" width="15.21875" bestFit="1" customWidth="1"/>
    <col min="17" max="17" width="5.88671875" bestFit="1" customWidth="1"/>
    <col min="18" max="18" width="19.5546875" bestFit="1" customWidth="1"/>
    <col min="19" max="19" width="6.88671875" bestFit="1" customWidth="1"/>
    <col min="20" max="20" width="20.88671875" bestFit="1" customWidth="1"/>
    <col min="21" max="21" width="23" bestFit="1" customWidth="1"/>
    <col min="22" max="22" width="27.6640625" bestFit="1" customWidth="1"/>
    <col min="23" max="23" width="21.88671875" bestFit="1" customWidth="1"/>
    <col min="24" max="27" width="11.6640625" customWidth="1"/>
    <col min="28" max="28" width="18.88671875" bestFit="1" customWidth="1"/>
    <col min="29" max="75" width="11.6640625" customWidth="1"/>
  </cols>
  <sheetData>
    <row r="1" spans="1:7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R1" t="s">
        <v>49</v>
      </c>
      <c r="S1" t="s">
        <v>50</v>
      </c>
      <c r="T1" t="s">
        <v>51</v>
      </c>
      <c r="U1" t="s">
        <v>52</v>
      </c>
      <c r="V1" t="s">
        <v>53</v>
      </c>
      <c r="W1" t="s">
        <v>54</v>
      </c>
      <c r="X1" t="s">
        <v>55</v>
      </c>
      <c r="Y1" t="s">
        <v>56</v>
      </c>
      <c r="Z1" t="s">
        <v>57</v>
      </c>
      <c r="AA1" t="s">
        <v>58</v>
      </c>
      <c r="AB1" t="s">
        <v>59</v>
      </c>
      <c r="AC1" t="s">
        <v>60</v>
      </c>
      <c r="AD1" t="s">
        <v>61</v>
      </c>
      <c r="AE1" t="s">
        <v>62</v>
      </c>
      <c r="AF1" t="s">
        <v>63</v>
      </c>
      <c r="AG1" t="s">
        <v>64</v>
      </c>
      <c r="AH1" t="s">
        <v>65</v>
      </c>
      <c r="AI1" t="s">
        <v>66</v>
      </c>
      <c r="AJ1" t="s">
        <v>67</v>
      </c>
      <c r="AK1" t="s">
        <v>68</v>
      </c>
      <c r="AL1" t="s">
        <v>69</v>
      </c>
      <c r="AM1" t="s">
        <v>70</v>
      </c>
      <c r="AN1" t="s">
        <v>71</v>
      </c>
      <c r="AO1" t="s">
        <v>72</v>
      </c>
      <c r="AP1" t="s">
        <v>73</v>
      </c>
      <c r="AQ1" t="s">
        <v>74</v>
      </c>
      <c r="AR1" t="s">
        <v>75</v>
      </c>
      <c r="AS1" t="s">
        <v>76</v>
      </c>
      <c r="AT1" t="s">
        <v>77</v>
      </c>
      <c r="AU1" t="s">
        <v>78</v>
      </c>
      <c r="AV1" t="s">
        <v>79</v>
      </c>
      <c r="AW1" t="s">
        <v>80</v>
      </c>
      <c r="AX1" t="s">
        <v>81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</row>
    <row r="2" spans="1:73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I2" s="2" t="s">
        <v>8</v>
      </c>
      <c r="J2" s="2"/>
    </row>
    <row r="3" spans="1:73" x14ac:dyDescent="0.3">
      <c r="A3" t="s">
        <v>8</v>
      </c>
      <c r="B3" t="s">
        <v>32</v>
      </c>
      <c r="C3">
        <v>0</v>
      </c>
      <c r="D3">
        <v>2</v>
      </c>
      <c r="E3">
        <v>2</v>
      </c>
      <c r="F3" t="s">
        <v>39</v>
      </c>
      <c r="G3">
        <v>0</v>
      </c>
      <c r="H3">
        <f t="shared" ref="H3:H25" si="0">C3+G3</f>
        <v>0</v>
      </c>
      <c r="K3" s="2" t="s">
        <v>9</v>
      </c>
      <c r="L3" s="2"/>
      <c r="M3" s="2"/>
      <c r="N3" s="2"/>
      <c r="O3" s="2"/>
    </row>
    <row r="4" spans="1:73" x14ac:dyDescent="0.3">
      <c r="A4" t="s">
        <v>9</v>
      </c>
      <c r="B4" t="s">
        <v>32</v>
      </c>
      <c r="C4">
        <f>D3</f>
        <v>2</v>
      </c>
      <c r="D4">
        <v>7</v>
      </c>
      <c r="E4">
        <v>5</v>
      </c>
      <c r="F4" t="s">
        <v>106</v>
      </c>
      <c r="G4">
        <v>0</v>
      </c>
      <c r="H4">
        <f t="shared" si="0"/>
        <v>2</v>
      </c>
      <c r="P4" s="2" t="s">
        <v>10</v>
      </c>
      <c r="Q4" s="2"/>
    </row>
    <row r="5" spans="1:73" x14ac:dyDescent="0.3">
      <c r="A5" t="s">
        <v>10</v>
      </c>
      <c r="B5" t="s">
        <v>32</v>
      </c>
      <c r="C5">
        <f>D4</f>
        <v>7</v>
      </c>
      <c r="D5">
        <v>9</v>
      </c>
      <c r="E5">
        <v>2</v>
      </c>
      <c r="F5" t="s">
        <v>39</v>
      </c>
      <c r="G5">
        <v>0</v>
      </c>
      <c r="H5">
        <f t="shared" si="0"/>
        <v>7</v>
      </c>
      <c r="R5" s="2" t="s">
        <v>11</v>
      </c>
      <c r="S5" s="2"/>
    </row>
    <row r="6" spans="1:73" x14ac:dyDescent="0.3">
      <c r="A6" t="s">
        <v>11</v>
      </c>
      <c r="B6" t="s">
        <v>32</v>
      </c>
      <c r="C6">
        <f t="shared" ref="C6:C26" si="1">D5</f>
        <v>9</v>
      </c>
      <c r="D6">
        <v>11</v>
      </c>
      <c r="E6">
        <v>2</v>
      </c>
      <c r="F6" t="s">
        <v>107</v>
      </c>
      <c r="G6">
        <v>0</v>
      </c>
      <c r="H6">
        <f t="shared" si="0"/>
        <v>9</v>
      </c>
      <c r="T6" s="2" t="s">
        <v>12</v>
      </c>
    </row>
    <row r="7" spans="1:73" x14ac:dyDescent="0.3">
      <c r="A7" t="s">
        <v>12</v>
      </c>
      <c r="B7" t="s">
        <v>32</v>
      </c>
      <c r="C7">
        <f t="shared" si="1"/>
        <v>11</v>
      </c>
      <c r="D7">
        <v>12</v>
      </c>
      <c r="E7">
        <v>1</v>
      </c>
      <c r="F7" t="s">
        <v>105</v>
      </c>
      <c r="G7">
        <v>0</v>
      </c>
      <c r="H7">
        <f t="shared" si="0"/>
        <v>11</v>
      </c>
      <c r="U7" s="3" t="s">
        <v>13</v>
      </c>
    </row>
    <row r="8" spans="1:73" x14ac:dyDescent="0.3">
      <c r="A8" t="s">
        <v>13</v>
      </c>
      <c r="B8" t="s">
        <v>33</v>
      </c>
      <c r="C8">
        <f t="shared" si="1"/>
        <v>12</v>
      </c>
      <c r="D8">
        <v>13</v>
      </c>
      <c r="E8">
        <v>1</v>
      </c>
      <c r="F8" t="s">
        <v>39</v>
      </c>
      <c r="G8">
        <v>0</v>
      </c>
      <c r="H8">
        <f t="shared" si="0"/>
        <v>12</v>
      </c>
      <c r="V8" s="3" t="s">
        <v>14</v>
      </c>
      <c r="W8" s="3"/>
      <c r="X8" s="3"/>
      <c r="Y8" s="3"/>
    </row>
    <row r="9" spans="1:73" x14ac:dyDescent="0.3">
      <c r="A9" t="s">
        <v>14</v>
      </c>
      <c r="B9" t="s">
        <v>33</v>
      </c>
      <c r="C9">
        <f t="shared" si="1"/>
        <v>13</v>
      </c>
      <c r="D9">
        <v>17</v>
      </c>
      <c r="E9">
        <v>4</v>
      </c>
      <c r="F9" t="s">
        <v>39</v>
      </c>
      <c r="G9">
        <v>0</v>
      </c>
      <c r="H9">
        <f t="shared" si="0"/>
        <v>13</v>
      </c>
      <c r="V9" s="3" t="s">
        <v>15</v>
      </c>
    </row>
    <row r="10" spans="1:73" x14ac:dyDescent="0.3">
      <c r="A10" t="s">
        <v>15</v>
      </c>
      <c r="B10" t="s">
        <v>33</v>
      </c>
      <c r="C10">
        <f t="shared" si="1"/>
        <v>17</v>
      </c>
      <c r="D10">
        <v>14</v>
      </c>
      <c r="E10">
        <v>1</v>
      </c>
      <c r="F10" t="s">
        <v>39</v>
      </c>
      <c r="G10">
        <v>0</v>
      </c>
      <c r="H10">
        <f t="shared" si="0"/>
        <v>17</v>
      </c>
      <c r="W10" s="3" t="s">
        <v>16</v>
      </c>
      <c r="X10" s="3"/>
      <c r="Y10" s="3"/>
    </row>
    <row r="11" spans="1:73" x14ac:dyDescent="0.3">
      <c r="A11" t="s">
        <v>16</v>
      </c>
      <c r="B11" t="s">
        <v>33</v>
      </c>
      <c r="C11">
        <f t="shared" si="1"/>
        <v>14</v>
      </c>
      <c r="D11">
        <v>17</v>
      </c>
      <c r="E11">
        <v>3</v>
      </c>
      <c r="F11" t="s">
        <v>39</v>
      </c>
      <c r="G11">
        <v>0</v>
      </c>
      <c r="H11">
        <f t="shared" si="0"/>
        <v>14</v>
      </c>
      <c r="U11" s="3" t="s">
        <v>17</v>
      </c>
    </row>
    <row r="12" spans="1:73" x14ac:dyDescent="0.3">
      <c r="A12" t="s">
        <v>17</v>
      </c>
      <c r="B12" t="s">
        <v>33</v>
      </c>
      <c r="C12">
        <f t="shared" si="1"/>
        <v>17</v>
      </c>
      <c r="D12">
        <v>13</v>
      </c>
      <c r="E12">
        <v>1</v>
      </c>
      <c r="F12" t="s">
        <v>39</v>
      </c>
      <c r="G12">
        <v>0</v>
      </c>
      <c r="H12">
        <f t="shared" si="0"/>
        <v>17</v>
      </c>
      <c r="V12" s="3" t="s">
        <v>18</v>
      </c>
      <c r="W12" s="3"/>
      <c r="X12" s="3"/>
    </row>
    <row r="13" spans="1:73" x14ac:dyDescent="0.3">
      <c r="A13" t="s">
        <v>18</v>
      </c>
      <c r="B13" t="s">
        <v>33</v>
      </c>
      <c r="C13">
        <f t="shared" si="1"/>
        <v>13</v>
      </c>
      <c r="D13">
        <v>16</v>
      </c>
      <c r="E13">
        <v>3</v>
      </c>
      <c r="F13" t="s">
        <v>105</v>
      </c>
      <c r="G13">
        <v>0</v>
      </c>
      <c r="H13">
        <f t="shared" si="0"/>
        <v>13</v>
      </c>
      <c r="Z13" s="4" t="s">
        <v>19</v>
      </c>
    </row>
    <row r="14" spans="1:73" x14ac:dyDescent="0.3">
      <c r="A14" t="s">
        <v>19</v>
      </c>
      <c r="B14" t="s">
        <v>34</v>
      </c>
      <c r="C14">
        <f t="shared" si="1"/>
        <v>16</v>
      </c>
      <c r="D14">
        <v>18</v>
      </c>
      <c r="E14">
        <v>1</v>
      </c>
      <c r="F14" t="s">
        <v>39</v>
      </c>
      <c r="G14">
        <v>0</v>
      </c>
      <c r="H14">
        <f t="shared" si="0"/>
        <v>16</v>
      </c>
      <c r="AA14" s="4" t="s">
        <v>20</v>
      </c>
    </row>
    <row r="15" spans="1:73" x14ac:dyDescent="0.3">
      <c r="A15" t="s">
        <v>20</v>
      </c>
      <c r="B15" t="s">
        <v>34</v>
      </c>
      <c r="C15">
        <f t="shared" si="1"/>
        <v>18</v>
      </c>
      <c r="D15">
        <v>19</v>
      </c>
      <c r="E15">
        <v>1</v>
      </c>
      <c r="F15" t="s">
        <v>39</v>
      </c>
      <c r="G15">
        <v>0</v>
      </c>
      <c r="H15">
        <f t="shared" si="0"/>
        <v>18</v>
      </c>
      <c r="AB15" s="4" t="s">
        <v>21</v>
      </c>
    </row>
    <row r="16" spans="1:73" x14ac:dyDescent="0.3">
      <c r="A16" t="s">
        <v>21</v>
      </c>
      <c r="B16" t="s">
        <v>34</v>
      </c>
      <c r="C16">
        <f t="shared" si="1"/>
        <v>19</v>
      </c>
      <c r="D16">
        <v>20</v>
      </c>
      <c r="E16">
        <v>1</v>
      </c>
      <c r="F16" t="s">
        <v>39</v>
      </c>
      <c r="G16">
        <v>0</v>
      </c>
      <c r="H16">
        <f t="shared" si="0"/>
        <v>19</v>
      </c>
      <c r="AC16" s="4" t="s">
        <v>22</v>
      </c>
    </row>
    <row r="17" spans="1:70" x14ac:dyDescent="0.3">
      <c r="A17" t="s">
        <v>22</v>
      </c>
      <c r="B17" t="s">
        <v>34</v>
      </c>
      <c r="C17">
        <f t="shared" si="1"/>
        <v>20</v>
      </c>
      <c r="D17">
        <v>21</v>
      </c>
      <c r="E17">
        <v>1</v>
      </c>
      <c r="F17" t="s">
        <v>39</v>
      </c>
      <c r="G17">
        <v>0</v>
      </c>
      <c r="H17">
        <f t="shared" si="0"/>
        <v>20</v>
      </c>
      <c r="AD17" s="5" t="s">
        <v>23</v>
      </c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</row>
    <row r="18" spans="1:70" x14ac:dyDescent="0.3">
      <c r="A18" t="s">
        <v>23</v>
      </c>
      <c r="B18" t="s">
        <v>35</v>
      </c>
      <c r="C18">
        <f t="shared" si="1"/>
        <v>21</v>
      </c>
      <c r="D18">
        <v>60</v>
      </c>
      <c r="E18">
        <v>39</v>
      </c>
      <c r="F18" t="s">
        <v>39</v>
      </c>
      <c r="G18">
        <v>0</v>
      </c>
      <c r="H18">
        <f t="shared" si="0"/>
        <v>21</v>
      </c>
      <c r="AD18" s="5" t="s">
        <v>24</v>
      </c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</row>
    <row r="19" spans="1:70" x14ac:dyDescent="0.3">
      <c r="A19" t="s">
        <v>24</v>
      </c>
      <c r="B19" t="s">
        <v>35</v>
      </c>
      <c r="C19">
        <f t="shared" si="1"/>
        <v>60</v>
      </c>
      <c r="D19">
        <v>60</v>
      </c>
      <c r="E19">
        <v>39</v>
      </c>
      <c r="F19" t="s">
        <v>39</v>
      </c>
      <c r="G19">
        <v>0</v>
      </c>
      <c r="H19">
        <f t="shared" si="0"/>
        <v>60</v>
      </c>
      <c r="AD19" s="5" t="s">
        <v>25</v>
      </c>
      <c r="AE19" s="9"/>
      <c r="AF19" s="9"/>
      <c r="AG19" s="9"/>
      <c r="AH19" s="9"/>
      <c r="AI19" s="9"/>
      <c r="AJ19" s="9"/>
      <c r="AK19" s="5"/>
      <c r="AL19" s="9"/>
      <c r="AM19" s="9"/>
      <c r="AN19" s="9"/>
      <c r="AO19" s="9"/>
      <c r="AP19" s="9"/>
      <c r="AQ19" s="9"/>
      <c r="AR19" s="9"/>
      <c r="AS19" s="5"/>
      <c r="AT19" s="9"/>
      <c r="AU19" s="9"/>
      <c r="AV19" s="9"/>
      <c r="AW19" s="9"/>
      <c r="AX19" s="9"/>
      <c r="AY19" s="9"/>
      <c r="AZ19" s="5"/>
      <c r="BA19" s="9"/>
      <c r="BB19" s="9"/>
      <c r="BC19" s="9"/>
      <c r="BD19" s="9"/>
      <c r="BE19" s="9"/>
      <c r="BF19" s="9"/>
      <c r="BG19" s="9"/>
      <c r="BH19" s="9"/>
      <c r="BI19" s="5"/>
      <c r="BJ19" s="9"/>
      <c r="BK19" s="9"/>
      <c r="BL19" s="9"/>
      <c r="BM19" s="9"/>
      <c r="BN19" s="9"/>
      <c r="BO19" s="5"/>
      <c r="BP19" s="5"/>
    </row>
    <row r="20" spans="1:70" x14ac:dyDescent="0.3">
      <c r="A20" t="s">
        <v>25</v>
      </c>
      <c r="B20" t="s">
        <v>35</v>
      </c>
      <c r="C20">
        <f t="shared" si="1"/>
        <v>60</v>
      </c>
      <c r="D20">
        <v>60</v>
      </c>
      <c r="E20">
        <v>39</v>
      </c>
      <c r="F20" t="s">
        <v>39</v>
      </c>
      <c r="G20">
        <v>0</v>
      </c>
      <c r="H20">
        <f t="shared" si="0"/>
        <v>60</v>
      </c>
      <c r="AW20" s="6" t="s">
        <v>26</v>
      </c>
    </row>
    <row r="21" spans="1:70" x14ac:dyDescent="0.3">
      <c r="A21" t="s">
        <v>26</v>
      </c>
      <c r="B21" t="s">
        <v>36</v>
      </c>
      <c r="C21">
        <f t="shared" si="1"/>
        <v>60</v>
      </c>
      <c r="D21">
        <v>41</v>
      </c>
      <c r="E21">
        <v>1</v>
      </c>
      <c r="F21" t="s">
        <v>39</v>
      </c>
      <c r="G21">
        <v>0</v>
      </c>
      <c r="H21">
        <f t="shared" si="0"/>
        <v>60</v>
      </c>
      <c r="AX21" s="6" t="s">
        <v>27</v>
      </c>
    </row>
    <row r="22" spans="1:70" x14ac:dyDescent="0.3">
      <c r="A22" t="s">
        <v>27</v>
      </c>
      <c r="B22" t="s">
        <v>36</v>
      </c>
      <c r="C22">
        <f t="shared" si="1"/>
        <v>41</v>
      </c>
      <c r="D22">
        <v>42</v>
      </c>
      <c r="E22">
        <v>1</v>
      </c>
      <c r="F22" t="s">
        <v>39</v>
      </c>
      <c r="G22">
        <v>0</v>
      </c>
      <c r="H22">
        <f t="shared" si="0"/>
        <v>41</v>
      </c>
      <c r="BO22" s="7" t="s">
        <v>28</v>
      </c>
    </row>
    <row r="23" spans="1:70" x14ac:dyDescent="0.3">
      <c r="A23" t="s">
        <v>28</v>
      </c>
      <c r="B23" t="s">
        <v>37</v>
      </c>
      <c r="C23">
        <f t="shared" si="1"/>
        <v>42</v>
      </c>
      <c r="D23">
        <v>59</v>
      </c>
      <c r="E23">
        <v>1</v>
      </c>
      <c r="F23" t="s">
        <v>39</v>
      </c>
      <c r="G23">
        <v>0</v>
      </c>
      <c r="H23">
        <f t="shared" si="0"/>
        <v>42</v>
      </c>
      <c r="BP23" s="7" t="s">
        <v>29</v>
      </c>
    </row>
    <row r="24" spans="1:70" x14ac:dyDescent="0.3">
      <c r="A24" t="s">
        <v>29</v>
      </c>
      <c r="B24" t="s">
        <v>37</v>
      </c>
      <c r="C24">
        <f t="shared" si="1"/>
        <v>59</v>
      </c>
      <c r="D24">
        <v>60</v>
      </c>
      <c r="E24">
        <v>1</v>
      </c>
      <c r="F24" t="s">
        <v>39</v>
      </c>
      <c r="G24">
        <v>0</v>
      </c>
      <c r="H24">
        <f t="shared" si="0"/>
        <v>59</v>
      </c>
      <c r="BQ24" s="8" t="s">
        <v>30</v>
      </c>
    </row>
    <row r="25" spans="1:70" x14ac:dyDescent="0.3">
      <c r="A25" t="s">
        <v>30</v>
      </c>
      <c r="B25" t="s">
        <v>38</v>
      </c>
      <c r="C25">
        <f t="shared" si="1"/>
        <v>60</v>
      </c>
      <c r="D25">
        <v>61</v>
      </c>
      <c r="E25">
        <v>1</v>
      </c>
      <c r="F25" t="s">
        <v>39</v>
      </c>
      <c r="G25">
        <v>0</v>
      </c>
      <c r="H25">
        <f t="shared" si="0"/>
        <v>60</v>
      </c>
      <c r="BR25" s="8" t="s">
        <v>31</v>
      </c>
    </row>
    <row r="26" spans="1:70" x14ac:dyDescent="0.3">
      <c r="A26" t="s">
        <v>31</v>
      </c>
      <c r="B26" t="s">
        <v>38</v>
      </c>
      <c r="C26">
        <f t="shared" si="1"/>
        <v>61</v>
      </c>
      <c r="D26">
        <v>62</v>
      </c>
      <c r="E26">
        <v>1</v>
      </c>
      <c r="F26" t="s">
        <v>39</v>
      </c>
      <c r="G26">
        <v>0</v>
      </c>
      <c r="H26">
        <v>61</v>
      </c>
    </row>
    <row r="29" spans="1:70" x14ac:dyDescent="0.3">
      <c r="A29" t="s">
        <v>108</v>
      </c>
    </row>
    <row r="31" spans="1:70" x14ac:dyDescent="0.3">
      <c r="A31" t="s">
        <v>109</v>
      </c>
    </row>
    <row r="32" spans="1:70" x14ac:dyDescent="0.3">
      <c r="A32" t="s">
        <v>110</v>
      </c>
    </row>
    <row r="33" spans="1:1" x14ac:dyDescent="0.3">
      <c r="A33" t="s">
        <v>111</v>
      </c>
    </row>
    <row r="34" spans="1:1" x14ac:dyDescent="0.3">
      <c r="A34" t="s">
        <v>112</v>
      </c>
    </row>
    <row r="35" spans="1:1" x14ac:dyDescent="0.3">
      <c r="A35" t="s">
        <v>113</v>
      </c>
    </row>
  </sheetData>
  <dataValidations count="1">
    <dataValidation type="list" allowBlank="1" showInputMessage="1" showErrorMessage="1" sqref="F2:F25" xr:uid="{00000000-0002-0000-0000-000000000000}">
      <formula1>"None,Rain Delay,Vendor Delay,Power Failure,Pit Collapse"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Mahima</dc:creator>
  <cp:lastModifiedBy>Mahima Anil Singh</cp:lastModifiedBy>
  <dcterms:created xsi:type="dcterms:W3CDTF">2025-07-08T03:21:50Z</dcterms:created>
  <dcterms:modified xsi:type="dcterms:W3CDTF">2025-07-16T14:22:42Z</dcterms:modified>
</cp:coreProperties>
</file>